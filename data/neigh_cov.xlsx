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elia\Documents\Boston_Built_Environment\"/>
    </mc:Choice>
  </mc:AlternateContent>
  <xr:revisionPtr revIDLastSave="0" documentId="13_ncr:1_{172C675A-61AA-43CD-91B6-261715586ECF}" xr6:coauthVersionLast="36" xr6:coauthVersionMax="36" xr10:uidLastSave="{00000000-0000-0000-0000-000000000000}"/>
  <bookViews>
    <workbookView xWindow="0" yWindow="0" windowWidth="19200" windowHeight="8250" xr2:uid="{535CF661-8447-40F2-9332-CBED359FB79C}"/>
  </bookViews>
  <sheets>
    <sheet name="Covariat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" i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" i="1"/>
</calcChain>
</file>

<file path=xl/sharedStrings.xml><?xml version="1.0" encoding="utf-8"?>
<sst xmlns="http://schemas.openxmlformats.org/spreadsheetml/2006/main" count="36" uniqueCount="36">
  <si>
    <t>Allston</t>
  </si>
  <si>
    <t>Back Bay</t>
  </si>
  <si>
    <t>Beacon Hill</t>
  </si>
  <si>
    <t>Brighton</t>
  </si>
  <si>
    <t>Charlestown</t>
  </si>
  <si>
    <t>Dorchester</t>
  </si>
  <si>
    <t>Downtown</t>
  </si>
  <si>
    <t>East Boston</t>
  </si>
  <si>
    <t>Fenway</t>
  </si>
  <si>
    <t>Hyde Park</t>
  </si>
  <si>
    <t>Jamaica Plain</t>
  </si>
  <si>
    <t>Longwood</t>
  </si>
  <si>
    <t>Mattapan</t>
  </si>
  <si>
    <t>Mission Hill</t>
  </si>
  <si>
    <t>North End</t>
  </si>
  <si>
    <t>Roslindale</t>
  </si>
  <si>
    <t>Roxbury</t>
  </si>
  <si>
    <t>South Boston</t>
  </si>
  <si>
    <t>South Boston Waterfront</t>
  </si>
  <si>
    <t>South End</t>
  </si>
  <si>
    <t>West End</t>
  </si>
  <si>
    <t>West Roxbury</t>
  </si>
  <si>
    <t>Neighborhood</t>
  </si>
  <si>
    <t>Hispanic</t>
  </si>
  <si>
    <t>hh_size</t>
  </si>
  <si>
    <t>public_transit</t>
  </si>
  <si>
    <t>high_school</t>
  </si>
  <si>
    <t>service_employed</t>
  </si>
  <si>
    <t>Population</t>
  </si>
  <si>
    <t>open_space</t>
  </si>
  <si>
    <t>area_sq_km</t>
  </si>
  <si>
    <t>pop_density</t>
  </si>
  <si>
    <t>hos_count</t>
  </si>
  <si>
    <t>hos_density</t>
  </si>
  <si>
    <t>comm_center_ct</t>
  </si>
  <si>
    <t>comm_cen_dens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</si>
</sst>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10" fontId="0" fillId="0" borderId="0" xfId="0" applyNumberFormat="1"/>
    <xf numFmtId="0" fontId="0" fillId="0" borderId="0" xfId="0"/>
    <xf numFmtId="0" fontId="0" fillId="0" borderId="1" xfId="0" applyBorder="1" applyAlignment="1">
      <alignment horizontal="left" indent="2"/>
    </xf>
    <xf numFmtId="164" fontId="0" fillId="0" borderId="0" xfId="0" applyNumberFormat="1"/>
    <xf numFmtId="164" fontId="0" fillId="0" borderId="1" xfId="0" applyNumberFormat="1" applyBorder="1"/>
    <xf numFmtId="164" fontId="0" fillId="0" borderId="2" xfId="0" applyNumberFormat="1" applyBorder="1"/>
    <xf numFmtId="0" fontId="2" fillId="0" borderId="0" xfId="0" applyFont="1" applyFill="1" applyBorder="1" applyAlignment="1" applyProtection="1"/>
  </cellXfs>
  <cellStyles count="2">
    <cellStyle name="Normal" xfId="0" builtinId="0"/>
    <cellStyle name="Normal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8EF2F-1F13-4048-BFB1-42DC88977B35}">
  <dimension ref="A1:N23"/>
  <sheetViews>
    <sheetView tabSelected="1" topLeftCell="C1" zoomScale="80" zoomScaleNormal="80" workbookViewId="0">
      <selection activeCell="H29" sqref="H29"/>
    </sheetView>
  </sheetViews>
  <sheetFormatPr defaultColWidth="15.54296875" defaultRowHeight="14.5" x14ac:dyDescent="0.35"/>
  <sheetData>
    <row r="1" spans="1:14" s="2" customFormat="1" x14ac:dyDescent="0.35">
      <c r="A1" s="2" t="s">
        <v>22</v>
      </c>
      <c r="B1" s="2" t="s">
        <v>25</v>
      </c>
      <c r="C1" s="2" t="s">
        <v>23</v>
      </c>
      <c r="D1" s="2" t="s">
        <v>24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</row>
    <row r="2" spans="1:14" x14ac:dyDescent="0.35">
      <c r="A2" s="3" t="s">
        <v>0</v>
      </c>
      <c r="B2" s="4">
        <v>0.38228838629640233</v>
      </c>
      <c r="C2" s="1">
        <v>0.13400000000000001</v>
      </c>
      <c r="D2" s="2">
        <v>2.149148211</v>
      </c>
      <c r="E2" s="6">
        <v>7.4098926380368094E-2</v>
      </c>
      <c r="F2" s="5">
        <v>0.18304071722076951</v>
      </c>
      <c r="G2" s="2">
        <v>28621</v>
      </c>
      <c r="H2" s="7">
        <v>0.1235444049512426</v>
      </c>
      <c r="I2" s="7">
        <v>3.85991333074</v>
      </c>
      <c r="J2">
        <f>G2/I2</f>
        <v>7414.9333281825138</v>
      </c>
      <c r="K2">
        <v>0</v>
      </c>
      <c r="L2">
        <f>K2/I2</f>
        <v>0</v>
      </c>
      <c r="M2">
        <v>1</v>
      </c>
      <c r="N2">
        <f>M2/I2</f>
        <v>0.25907317452858092</v>
      </c>
    </row>
    <row r="3" spans="1:14" x14ac:dyDescent="0.35">
      <c r="A3" s="3" t="s">
        <v>1</v>
      </c>
      <c r="B3" s="4">
        <v>0.24836304110585669</v>
      </c>
      <c r="C3" s="1">
        <v>9.6000000000000002E-2</v>
      </c>
      <c r="D3" s="2">
        <v>1.6331108640000001</v>
      </c>
      <c r="E3" s="6">
        <v>4.3216590530055832E-2</v>
      </c>
      <c r="F3" s="5">
        <v>6.7878140032068407E-2</v>
      </c>
      <c r="G3" s="2">
        <v>19588</v>
      </c>
      <c r="H3" s="7">
        <v>9.0918530779477813E-2</v>
      </c>
      <c r="I3" s="7">
        <v>1.42952751768</v>
      </c>
      <c r="J3" s="2">
        <f t="shared" ref="J3:J23" si="0">G3/I3</f>
        <v>13702.429479489585</v>
      </c>
      <c r="K3">
        <v>1</v>
      </c>
      <c r="L3" s="2">
        <f t="shared" ref="L3:L23" si="1">K3/I3</f>
        <v>0.69953182966559035</v>
      </c>
      <c r="M3">
        <v>0</v>
      </c>
      <c r="N3" s="2">
        <f t="shared" ref="N3:N23" si="2">M3/I3</f>
        <v>0</v>
      </c>
    </row>
    <row r="4" spans="1:14" x14ac:dyDescent="0.35">
      <c r="A4" s="3" t="s">
        <v>2</v>
      </c>
      <c r="B4" s="4">
        <v>0.20303074885979108</v>
      </c>
      <c r="C4" s="1">
        <v>0.06</v>
      </c>
      <c r="D4" s="2">
        <v>1.6960802189999999</v>
      </c>
      <c r="E4" s="6">
        <v>2.0480312080945997E-2</v>
      </c>
      <c r="F4" s="5">
        <v>4.2129900526623756E-2</v>
      </c>
      <c r="G4" s="2">
        <v>9336</v>
      </c>
      <c r="H4" s="7">
        <v>0.40312659072090229</v>
      </c>
      <c r="I4" s="7">
        <v>0.73314951565200004</v>
      </c>
      <c r="J4" s="2">
        <f t="shared" si="0"/>
        <v>12734.101026715356</v>
      </c>
      <c r="K4">
        <v>0</v>
      </c>
      <c r="L4" s="2">
        <f t="shared" si="1"/>
        <v>0</v>
      </c>
      <c r="M4">
        <v>0</v>
      </c>
      <c r="N4" s="2">
        <f t="shared" si="2"/>
        <v>0</v>
      </c>
    </row>
    <row r="5" spans="1:14" x14ac:dyDescent="0.35">
      <c r="A5" s="3" t="s">
        <v>3</v>
      </c>
      <c r="B5" s="4">
        <v>0.33136311182414369</v>
      </c>
      <c r="C5" s="1">
        <v>0.121</v>
      </c>
      <c r="D5" s="2">
        <v>2.1279416000000002</v>
      </c>
      <c r="E5" s="6">
        <v>0.11795712484237074</v>
      </c>
      <c r="F5" s="5">
        <v>0.15293174467144002</v>
      </c>
      <c r="G5" s="2">
        <v>48330</v>
      </c>
      <c r="H5" s="7">
        <v>0.18785893032546708</v>
      </c>
      <c r="I5" s="7">
        <v>7.1146879088399997</v>
      </c>
      <c r="J5" s="2">
        <f t="shared" si="0"/>
        <v>6792.9894633817985</v>
      </c>
      <c r="K5">
        <v>2</v>
      </c>
      <c r="L5" s="2">
        <f t="shared" si="1"/>
        <v>0.28110860597483128</v>
      </c>
      <c r="M5">
        <v>0</v>
      </c>
      <c r="N5" s="2">
        <f t="shared" si="2"/>
        <v>0</v>
      </c>
    </row>
    <row r="6" spans="1:14" x14ac:dyDescent="0.35">
      <c r="A6" s="3" t="s">
        <v>4</v>
      </c>
      <c r="B6" s="4">
        <v>0.25263247282608697</v>
      </c>
      <c r="C6" s="1">
        <v>0.111</v>
      </c>
      <c r="D6" s="2">
        <v>2.1283027319999999</v>
      </c>
      <c r="E6" s="6">
        <v>0.13683721547547945</v>
      </c>
      <c r="F6" s="5">
        <v>0.10355278666442162</v>
      </c>
      <c r="G6" s="2">
        <v>19120</v>
      </c>
      <c r="H6" s="7">
        <v>8.8140802244872793E-2</v>
      </c>
      <c r="I6" s="7">
        <v>4.7631778002900003</v>
      </c>
      <c r="J6" s="2">
        <f t="shared" si="0"/>
        <v>4014.1268711060716</v>
      </c>
      <c r="K6">
        <v>1</v>
      </c>
      <c r="L6" s="2">
        <f t="shared" si="1"/>
        <v>0.20994387401182382</v>
      </c>
      <c r="M6" s="2">
        <v>3</v>
      </c>
      <c r="N6" s="2">
        <f t="shared" si="2"/>
        <v>0.62983162203547149</v>
      </c>
    </row>
    <row r="7" spans="1:14" x14ac:dyDescent="0.35">
      <c r="A7" s="3" t="s">
        <v>5</v>
      </c>
      <c r="B7" s="4">
        <v>0.36483263036506958</v>
      </c>
      <c r="C7" s="1">
        <v>0.19900000000000001</v>
      </c>
      <c r="D7" s="2">
        <v>2.6923231379999999</v>
      </c>
      <c r="E7" s="6">
        <v>0.29876063805050457</v>
      </c>
      <c r="F7" s="5">
        <v>0.27245954491908986</v>
      </c>
      <c r="G7" s="2">
        <v>122191</v>
      </c>
      <c r="H7" s="7">
        <v>0.11150780739876201</v>
      </c>
      <c r="I7" s="7">
        <v>20.374071055600002</v>
      </c>
      <c r="J7" s="2">
        <f t="shared" si="0"/>
        <v>5997.3777291021406</v>
      </c>
      <c r="K7">
        <v>1</v>
      </c>
      <c r="L7" s="2">
        <f t="shared" si="1"/>
        <v>4.9081992365249003E-2</v>
      </c>
      <c r="M7">
        <v>6</v>
      </c>
      <c r="N7" s="2">
        <f t="shared" si="2"/>
        <v>0.29449195419149404</v>
      </c>
    </row>
    <row r="8" spans="1:14" x14ac:dyDescent="0.35">
      <c r="A8" s="3" t="s">
        <v>6</v>
      </c>
      <c r="B8" s="4">
        <v>0.200809199318569</v>
      </c>
      <c r="C8" s="1">
        <v>0.06</v>
      </c>
      <c r="D8" s="2">
        <v>1.7104239960000001</v>
      </c>
      <c r="E8" s="6">
        <v>0.10572237069643138</v>
      </c>
      <c r="F8" s="5">
        <v>0.13241678726483358</v>
      </c>
      <c r="G8" s="2">
        <v>13451</v>
      </c>
      <c r="H8" s="7">
        <v>0.10335909339248546</v>
      </c>
      <c r="I8" s="7">
        <v>2.0057939301499998</v>
      </c>
      <c r="J8" s="2">
        <f t="shared" si="0"/>
        <v>6706.0727414775301</v>
      </c>
      <c r="K8">
        <v>0</v>
      </c>
      <c r="L8" s="2">
        <f t="shared" si="1"/>
        <v>0</v>
      </c>
      <c r="M8">
        <v>0</v>
      </c>
      <c r="N8" s="2">
        <f t="shared" si="2"/>
        <v>0</v>
      </c>
    </row>
    <row r="9" spans="1:14" x14ac:dyDescent="0.35">
      <c r="A9" s="3" t="s">
        <v>7</v>
      </c>
      <c r="B9" s="4">
        <v>0.53632023503488802</v>
      </c>
      <c r="C9" s="1">
        <v>0.56499999999999995</v>
      </c>
      <c r="D9" s="2">
        <v>2.5644204849999999</v>
      </c>
      <c r="E9" s="6">
        <v>0.28647597725866791</v>
      </c>
      <c r="F9" s="5">
        <v>0.38234549596788775</v>
      </c>
      <c r="G9" s="2">
        <v>43066</v>
      </c>
      <c r="H9" s="7">
        <v>9.3190644699354064E-2</v>
      </c>
      <c r="I9" s="7">
        <v>18.103325854600001</v>
      </c>
      <c r="J9" s="2">
        <f t="shared" si="0"/>
        <v>2378.8998963998129</v>
      </c>
      <c r="K9">
        <v>0</v>
      </c>
      <c r="L9" s="2">
        <f t="shared" si="1"/>
        <v>0</v>
      </c>
      <c r="M9" s="2">
        <v>3</v>
      </c>
      <c r="N9" s="2">
        <f t="shared" si="2"/>
        <v>0.16571540633445037</v>
      </c>
    </row>
    <row r="10" spans="1:14" x14ac:dyDescent="0.35">
      <c r="A10" s="3" t="s">
        <v>8</v>
      </c>
      <c r="B10" s="4">
        <v>0.26258298129149066</v>
      </c>
      <c r="C10" s="1">
        <v>0.12</v>
      </c>
      <c r="D10" s="2">
        <v>1.6596635340000001</v>
      </c>
      <c r="E10" s="6">
        <v>9.9075897591274054E-2</v>
      </c>
      <c r="F10" s="5">
        <v>0.14306872037914692</v>
      </c>
      <c r="G10" s="2">
        <v>37733</v>
      </c>
      <c r="H10" s="7">
        <v>0.20054853147488216</v>
      </c>
      <c r="I10" s="7">
        <v>3.9775270581600002</v>
      </c>
      <c r="J10" s="2">
        <f t="shared" si="0"/>
        <v>9486.547658447671</v>
      </c>
      <c r="K10">
        <v>1</v>
      </c>
      <c r="L10" s="2">
        <f t="shared" si="1"/>
        <v>0.25141249459220499</v>
      </c>
      <c r="M10">
        <v>0</v>
      </c>
      <c r="N10" s="2">
        <f t="shared" si="2"/>
        <v>0</v>
      </c>
    </row>
    <row r="11" spans="1:14" x14ac:dyDescent="0.35">
      <c r="A11" s="3" t="s">
        <v>9</v>
      </c>
      <c r="B11" s="4">
        <v>0.24562379844176868</v>
      </c>
      <c r="C11" s="1">
        <v>0.26300000000000001</v>
      </c>
      <c r="D11" s="2">
        <v>2.7190452509999998</v>
      </c>
      <c r="E11" s="6">
        <v>0.27716593245227605</v>
      </c>
      <c r="F11" s="5">
        <v>0.23864648263579696</v>
      </c>
      <c r="G11" s="2">
        <v>33009</v>
      </c>
      <c r="H11" s="7">
        <v>0.31942804074363329</v>
      </c>
      <c r="I11" s="7">
        <v>12.937897750299999</v>
      </c>
      <c r="J11" s="2">
        <f t="shared" si="0"/>
        <v>2551.341851440633</v>
      </c>
      <c r="K11">
        <v>0</v>
      </c>
      <c r="L11" s="2">
        <f t="shared" si="1"/>
        <v>0</v>
      </c>
      <c r="M11">
        <v>1</v>
      </c>
      <c r="N11" s="2">
        <f t="shared" si="2"/>
        <v>7.7292309716763097E-2</v>
      </c>
    </row>
    <row r="12" spans="1:14" x14ac:dyDescent="0.35">
      <c r="A12" s="3" t="s">
        <v>10</v>
      </c>
      <c r="B12" s="4">
        <v>0.41823925513342758</v>
      </c>
      <c r="C12" s="1">
        <v>0.22</v>
      </c>
      <c r="D12" s="2">
        <v>2.2542315500000001</v>
      </c>
      <c r="E12" s="6">
        <v>0.12075532085133622</v>
      </c>
      <c r="F12" s="5">
        <v>0.15716424553878525</v>
      </c>
      <c r="G12" s="2">
        <v>41012</v>
      </c>
      <c r="H12" s="7">
        <v>0.38012764755354683</v>
      </c>
      <c r="I12" s="7">
        <v>10.5315697148</v>
      </c>
      <c r="J12" s="2">
        <f t="shared" si="0"/>
        <v>3894.1963174175162</v>
      </c>
      <c r="K12">
        <v>2</v>
      </c>
      <c r="L12" s="2">
        <f t="shared" si="1"/>
        <v>0.18990521395774487</v>
      </c>
      <c r="M12">
        <v>2</v>
      </c>
      <c r="N12" s="2">
        <f t="shared" si="2"/>
        <v>0.18990521395774487</v>
      </c>
    </row>
    <row r="13" spans="1:14" x14ac:dyDescent="0.35">
      <c r="A13" s="3" t="s">
        <v>11</v>
      </c>
      <c r="B13" s="4">
        <v>0.14389101745423585</v>
      </c>
      <c r="C13" s="1">
        <v>7.2999999999999995E-2</v>
      </c>
      <c r="D13" s="2">
        <v>1.8823529409999999</v>
      </c>
      <c r="E13" s="6">
        <v>6.5913370998116755E-2</v>
      </c>
      <c r="F13" s="5">
        <v>0.29307568438003223</v>
      </c>
      <c r="G13" s="2">
        <v>4096</v>
      </c>
      <c r="H13" s="7">
        <v>7.2414472570778793E-2</v>
      </c>
      <c r="I13" s="7">
        <v>0.63646266242299998</v>
      </c>
      <c r="J13" s="2">
        <f t="shared" si="0"/>
        <v>6435.5699742175202</v>
      </c>
      <c r="K13">
        <v>5</v>
      </c>
      <c r="L13" s="2">
        <f t="shared" si="1"/>
        <v>7.8559203786834955</v>
      </c>
      <c r="M13">
        <v>0</v>
      </c>
      <c r="N13" s="2">
        <f t="shared" si="2"/>
        <v>0</v>
      </c>
    </row>
    <row r="14" spans="1:14" x14ac:dyDescent="0.35">
      <c r="A14" s="3" t="s">
        <v>12</v>
      </c>
      <c r="B14" s="4">
        <v>0.33410284986467126</v>
      </c>
      <c r="C14" s="1">
        <v>0.14099999999999999</v>
      </c>
      <c r="D14" s="2">
        <v>2.6625099200000002</v>
      </c>
      <c r="E14" s="6">
        <v>0.34374136501796076</v>
      </c>
      <c r="F14" s="5">
        <v>0.29603998462129949</v>
      </c>
      <c r="G14" s="2">
        <v>23834</v>
      </c>
      <c r="H14" s="7">
        <v>0.23563101454096022</v>
      </c>
      <c r="I14" s="7">
        <v>5.4270428709100003</v>
      </c>
      <c r="J14" s="2">
        <f t="shared" si="0"/>
        <v>4391.7102862324618</v>
      </c>
      <c r="K14">
        <v>0</v>
      </c>
      <c r="L14" s="2">
        <f t="shared" si="1"/>
        <v>0</v>
      </c>
      <c r="M14">
        <v>3</v>
      </c>
      <c r="N14" s="2">
        <f t="shared" si="2"/>
        <v>0.55278723079203596</v>
      </c>
    </row>
    <row r="15" spans="1:14" x14ac:dyDescent="0.35">
      <c r="A15" s="3" t="s">
        <v>13</v>
      </c>
      <c r="B15" s="4">
        <v>0.38637200736648253</v>
      </c>
      <c r="C15" s="1">
        <v>0.214</v>
      </c>
      <c r="D15" s="2">
        <v>2.361143695</v>
      </c>
      <c r="E15" s="6">
        <v>0.15542583133534871</v>
      </c>
      <c r="F15" s="5">
        <v>0.21689259645464026</v>
      </c>
      <c r="G15" s="2">
        <v>17886</v>
      </c>
      <c r="H15" s="7">
        <v>0.1216979491569293</v>
      </c>
      <c r="I15" s="7">
        <v>1.39648906289</v>
      </c>
      <c r="J15" s="2">
        <f t="shared" si="0"/>
        <v>12807.833928169377</v>
      </c>
      <c r="K15">
        <v>1</v>
      </c>
      <c r="L15" s="2">
        <f t="shared" si="1"/>
        <v>0.71608151225368311</v>
      </c>
      <c r="M15">
        <v>1</v>
      </c>
      <c r="N15" s="2">
        <f t="shared" si="2"/>
        <v>0.71608151225368311</v>
      </c>
    </row>
    <row r="16" spans="1:14" x14ac:dyDescent="0.35">
      <c r="A16" s="3" t="s">
        <v>14</v>
      </c>
      <c r="B16" s="4">
        <v>0.2393632416787265</v>
      </c>
      <c r="C16" s="1">
        <v>7.0000000000000007E-2</v>
      </c>
      <c r="D16" s="2">
        <v>1.6813430469999999</v>
      </c>
      <c r="E16" s="6">
        <v>7.3290358744394615E-2</v>
      </c>
      <c r="F16" s="5">
        <v>6.3307681138376648E-2</v>
      </c>
      <c r="G16" s="2">
        <v>10805</v>
      </c>
      <c r="H16" s="7">
        <v>7.180871858067063E-2</v>
      </c>
      <c r="I16" s="7">
        <v>0.78689082394499998</v>
      </c>
      <c r="J16" s="2">
        <f t="shared" si="0"/>
        <v>13731.256829035307</v>
      </c>
      <c r="K16">
        <v>0</v>
      </c>
      <c r="L16" s="2">
        <f t="shared" si="1"/>
        <v>0</v>
      </c>
      <c r="M16">
        <v>2</v>
      </c>
      <c r="N16" s="2">
        <f t="shared" si="2"/>
        <v>2.5416486495206492</v>
      </c>
    </row>
    <row r="17" spans="1:14" x14ac:dyDescent="0.35">
      <c r="A17" s="3" t="s">
        <v>15</v>
      </c>
      <c r="B17" s="4">
        <v>0.29383126521403552</v>
      </c>
      <c r="C17" s="1">
        <v>0.23899999999999999</v>
      </c>
      <c r="D17" s="2">
        <v>2.5040749089999998</v>
      </c>
      <c r="E17" s="6">
        <v>0.21201220345157323</v>
      </c>
      <c r="F17" s="5">
        <v>0.20340763216244603</v>
      </c>
      <c r="G17" s="2">
        <v>29386</v>
      </c>
      <c r="H17" s="7">
        <v>0.16421032163848287</v>
      </c>
      <c r="I17" s="7">
        <v>6.2326138524600001</v>
      </c>
      <c r="J17" s="2">
        <f t="shared" si="0"/>
        <v>4714.875764106805</v>
      </c>
      <c r="K17">
        <v>1</v>
      </c>
      <c r="L17" s="2">
        <f t="shared" si="1"/>
        <v>0.16044632696205013</v>
      </c>
      <c r="M17">
        <v>3</v>
      </c>
      <c r="N17" s="2">
        <f t="shared" si="2"/>
        <v>0.48133898088615035</v>
      </c>
    </row>
    <row r="18" spans="1:14" x14ac:dyDescent="0.35">
      <c r="A18" s="3" t="s">
        <v>16</v>
      </c>
      <c r="B18" s="4">
        <v>0.41885410307839888</v>
      </c>
      <c r="C18" s="1">
        <v>0.307</v>
      </c>
      <c r="D18" s="2">
        <v>2.4743180140000001</v>
      </c>
      <c r="E18" s="6">
        <v>0.29480766940574016</v>
      </c>
      <c r="F18" s="5">
        <v>0.28621455415100788</v>
      </c>
      <c r="G18" s="2">
        <v>54905</v>
      </c>
      <c r="H18" s="7">
        <v>0.27677939099713217</v>
      </c>
      <c r="I18" s="7">
        <v>8.9663828628300006</v>
      </c>
      <c r="J18" s="2">
        <f t="shared" si="0"/>
        <v>6123.4280132747635</v>
      </c>
      <c r="K18">
        <v>3</v>
      </c>
      <c r="L18" s="2">
        <f t="shared" si="1"/>
        <v>0.33458308059055264</v>
      </c>
      <c r="M18">
        <v>4</v>
      </c>
      <c r="N18" s="2">
        <f t="shared" si="2"/>
        <v>0.4461107741207368</v>
      </c>
    </row>
    <row r="19" spans="1:14" x14ac:dyDescent="0.35">
      <c r="A19" s="3" t="s">
        <v>17</v>
      </c>
      <c r="B19" s="4">
        <v>0.36595289959311161</v>
      </c>
      <c r="C19" s="1">
        <v>0.111</v>
      </c>
      <c r="D19" s="2">
        <v>2.0905294809999999</v>
      </c>
      <c r="E19" s="6">
        <v>0.14257845346607917</v>
      </c>
      <c r="F19" s="5">
        <v>0.10232633805108182</v>
      </c>
      <c r="G19" s="2">
        <v>37917</v>
      </c>
      <c r="H19" s="7">
        <v>0.12651410761848367</v>
      </c>
      <c r="I19" s="7">
        <v>6.3925392529799998</v>
      </c>
      <c r="J19" s="2">
        <f t="shared" si="0"/>
        <v>5931.4457838212402</v>
      </c>
      <c r="K19">
        <v>0</v>
      </c>
      <c r="L19" s="2">
        <f t="shared" si="1"/>
        <v>0</v>
      </c>
      <c r="M19">
        <v>3</v>
      </c>
      <c r="N19" s="2">
        <f t="shared" si="2"/>
        <v>0.46929707918516023</v>
      </c>
    </row>
    <row r="20" spans="1:14" x14ac:dyDescent="0.35">
      <c r="A20" s="3" t="s">
        <v>18</v>
      </c>
      <c r="B20" s="4">
        <v>0.18330513254371122</v>
      </c>
      <c r="C20" s="1">
        <v>2.9000000000000001E-2</v>
      </c>
      <c r="D20" s="2">
        <v>1.539183223</v>
      </c>
      <c r="E20" s="6">
        <v>6.4151911726969463E-2</v>
      </c>
      <c r="F20" s="5">
        <v>7.0071258907363418E-2</v>
      </c>
      <c r="G20" s="2">
        <v>5579</v>
      </c>
      <c r="H20" s="7">
        <v>1.726070635445473E-2</v>
      </c>
      <c r="I20" s="7">
        <v>4.4270709137999997</v>
      </c>
      <c r="J20" s="2">
        <f t="shared" si="0"/>
        <v>1260.20118236851</v>
      </c>
      <c r="K20">
        <v>0</v>
      </c>
      <c r="L20" s="2">
        <f t="shared" si="1"/>
        <v>0</v>
      </c>
      <c r="M20">
        <v>0</v>
      </c>
      <c r="N20" s="2">
        <f t="shared" si="2"/>
        <v>0</v>
      </c>
    </row>
    <row r="21" spans="1:14" x14ac:dyDescent="0.35">
      <c r="A21" s="3" t="s">
        <v>19</v>
      </c>
      <c r="B21" s="4">
        <v>0.2578125</v>
      </c>
      <c r="C21" s="1">
        <v>0.14499999999999999</v>
      </c>
      <c r="D21" s="2">
        <v>1.879433554</v>
      </c>
      <c r="E21" s="6">
        <v>0.11128431298000152</v>
      </c>
      <c r="F21" s="5">
        <v>0.11732416764992562</v>
      </c>
      <c r="G21" s="2">
        <v>29373</v>
      </c>
      <c r="H21" s="7">
        <v>5.9369329428280403E-2</v>
      </c>
      <c r="I21" s="7">
        <v>2.0819608943499999</v>
      </c>
      <c r="J21" s="2">
        <f t="shared" si="0"/>
        <v>14108.334157337964</v>
      </c>
      <c r="K21">
        <v>3</v>
      </c>
      <c r="L21" s="2">
        <f t="shared" si="1"/>
        <v>1.4409492551667822</v>
      </c>
      <c r="M21">
        <v>1</v>
      </c>
      <c r="N21" s="2">
        <f t="shared" si="2"/>
        <v>0.48031641838892741</v>
      </c>
    </row>
    <row r="22" spans="1:14" x14ac:dyDescent="0.35">
      <c r="A22" s="3" t="s">
        <v>20</v>
      </c>
      <c r="B22" s="4">
        <v>0.22016675351745701</v>
      </c>
      <c r="C22" s="1">
        <v>0.127</v>
      </c>
      <c r="D22" s="2">
        <v>1.65376203</v>
      </c>
      <c r="E22" s="6">
        <v>8.1998944219602327E-2</v>
      </c>
      <c r="F22" s="5">
        <v>5.0843127235564639E-2</v>
      </c>
      <c r="G22" s="2">
        <v>7705</v>
      </c>
      <c r="H22" s="7">
        <v>8.8102795713067006E-2</v>
      </c>
      <c r="I22" s="7">
        <v>0.77805456664100003</v>
      </c>
      <c r="J22" s="2">
        <f t="shared" si="0"/>
        <v>9902.9044110156119</v>
      </c>
      <c r="K22">
        <v>6</v>
      </c>
      <c r="L22" s="2">
        <f t="shared" si="1"/>
        <v>7.7115413972866547</v>
      </c>
      <c r="M22">
        <v>0</v>
      </c>
      <c r="N22" s="2">
        <f t="shared" si="2"/>
        <v>0</v>
      </c>
    </row>
    <row r="23" spans="1:14" x14ac:dyDescent="0.35">
      <c r="A23" s="3" t="s">
        <v>21</v>
      </c>
      <c r="B23" s="4">
        <v>0.18595909342177999</v>
      </c>
      <c r="C23" s="1">
        <v>0.10100000000000001</v>
      </c>
      <c r="D23" s="2">
        <v>2.3193427930000001</v>
      </c>
      <c r="E23" s="6">
        <v>0.1933454660547555</v>
      </c>
      <c r="F23" s="5">
        <v>0.15147349901033649</v>
      </c>
      <c r="G23" s="2">
        <v>31561</v>
      </c>
      <c r="H23" s="7">
        <v>0.3130340808538517</v>
      </c>
      <c r="I23" s="7">
        <v>13.5348730973</v>
      </c>
      <c r="J23" s="2">
        <f t="shared" si="0"/>
        <v>2331.8282907503535</v>
      </c>
      <c r="K23">
        <v>1</v>
      </c>
      <c r="L23" s="2">
        <f t="shared" si="1"/>
        <v>7.3883219503512357E-2</v>
      </c>
      <c r="M23">
        <v>3</v>
      </c>
      <c r="N23" s="2">
        <f t="shared" si="2"/>
        <v>0.22164965851053706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Covariates</vt:lpstr>
    </vt:vector>
  </TitlesOfParts>
  <Company>Boston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Isaacson Michel</dc:creator>
  <cp:lastModifiedBy>Isaacson Michel</cp:lastModifiedBy>
  <dcterms:created xsi:type="dcterms:W3CDTF">2023-03-21T01:04:34Z</dcterms:created>
  <dcterms:modified xsi:type="dcterms:W3CDTF">2023-03-21T19:33:50Z</dcterms:modified>
</cp:coreProperties>
</file>